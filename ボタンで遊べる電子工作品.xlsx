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15.186.54614"/>
  <workbookPr/>
  <bookViews>
    <workbookView xWindow="360" yWindow="30" windowWidth="25755" windowHeight="11595" tabRatio="57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<sst xmlns="http://schemas.openxmlformats.org/spreadsheetml/2006/main" count="39" uniqueCount="39">
  <si>
    <t>品目</t>
  </si>
  <si>
    <t>金額</t>
  </si>
  <si>
    <t>個数</t>
  </si>
  <si>
    <t>合計金額</t>
  </si>
  <si>
    <t>概要(URL情報を含む)7</t>
  </si>
  <si>
    <t>概要(URL情報を含む)</t>
  </si>
  <si>
    <t>表示灯</t>
  </si>
  <si>
    <t>販売元URL</t>
  </si>
  <si>
    <t>使用概要</t>
  </si>
  <si>
    <t>使用用途</t>
  </si>
  <si>
    <t>正しいボタン入力が入力された場合に点灯するLED</t>
  </si>
  <si>
    <t>ロッカースイッチ</t>
  </si>
  <si>
    <t>ボタン入力用7</t>
  </si>
  <si>
    <t>ボタン入力用</t>
  </si>
  <si>
    <t>プッシュプルスイッチ</t>
  </si>
  <si>
    <t>キースイッチ</t>
  </si>
  <si>
    <t>エマージェンシースイッチ</t>
  </si>
  <si>
    <t>ボタン入力用(このボタンだけはON状態が正しい状態として採用)</t>
  </si>
  <si>
    <t>ボタン入力用(このボタンだけはON状態が正しい状態として採用)_透明な板で保護された状態で展示_最後に押すことにする</t>
  </si>
  <si>
    <t>タクトスイッチ</t>
  </si>
  <si>
    <t>ボタンの組み合わせランダム生成ON/OFFスイッチ</t>
  </si>
  <si>
    <t>アーケードスイッチ</t>
  </si>
  <si>
    <t>Amazon | Walfront 押しボタンスイッチ アケコン ボタン スイッチ ボタン LEDアーケードボタン LED凸型コンソール交換用 LEDライト内蔵 100mm大容量アーケードボタン マイクロスイッチ ボタンホルダー DC12V 140g(#1) | 押しボタンスイッチ | 産業・研究開発用品 通販</t>
  </si>
  <si>
    <t>最終判定用ボタン</t>
  </si>
  <si>
    <t>Amazon.co.jp: YFFSFDC 8mm DC 12-24V LED 防水インジケータライト パイロットライトシグナル インジケータ（5色セット）: 産業・研究開発用品</t>
  </si>
  <si>
    <t>Amazon.co.jp: ZHEJIA DC AC ロッカースイッチ 【10個セット/２５０V/６A、125V / 10A】オン/オフボートロッカースイッチ 自動車用オートバイボートの切断スイッチウォーターディスペンサーコーヒーポット等対応 長方形 15mm x 21mm : 産業・研究開発用品</t>
  </si>
  <si>
    <t>Amazon.co.jp: Kiligen 4個セット3A 12V/24V/110V/250V AC ラッチング 防水 押しボタンスイッチ(高い頭)) シルバースニッケルメッキ銅しボタンスイッチ(装着直径12mm) : 産業・研究開発用品</t>
  </si>
  <si>
    <t>Amazon.co.jp: KILIGEN メタルキーロックスイッチ 12mm オン/オフ 配線済みキースイッチ ロック維持ラッチングキースイッチ (4個パック) : 産業・研究開発用品</t>
  </si>
  <si>
    <t>Amazon.co.jp: 赤キノコ キャップ 1No 1Nc 停止押しボタン スイッチ AC 660V 10A便利で素敵 : 産業・研究開発用品</t>
  </si>
  <si>
    <t>Amazon.co.jp: Kiligen 8個 車トグルスイッチ10A/12VDC, 6A/24VDC2ピン SPST ON/OFFロッカートグルスイッチ、自動車オートトラックボート用 : 産業・研究開発用品</t>
  </si>
  <si>
    <t>上記のタクトスイッチを使用</t>
  </si>
  <si>
    <t>N-MOSFET</t>
  </si>
  <si>
    <t>リレー動作用(信号:マイコン、入出力:電源9V,12V)</t>
  </si>
  <si>
    <t>Amazon.co.jp: PENGLIN 20個 2N7000 Nチャンネル MOSFETトランジスタ TO-92 60V 0.3A スルーホール 3 ピン : 産業・研究開発用品</t>
  </si>
  <si>
    <t>リレー動作用(信号:マイコン,入出力:電源9V,12V)</t>
  </si>
  <si>
    <t>リレー動作用(信号:マイコン,入出力:電源9V・12V)</t>
  </si>
  <si>
    <t>arduino mega</t>
  </si>
  <si>
    <t>Amazon.co.jp: ELEGOO Arduino用 MEGA2560 R3ボード mega2560 MEGA16U2 + USB ケーブル (青) : パソコン・周辺機器</t>
  </si>
  <si>
    <t>制御用マイコン</t>
  </si>
</sst>
</file>

<file path=xl/styles.xml><?xml version="1.0" encoding="utf-8"?>
<styleSheet xmlns="http://schemas.openxmlformats.org/spreadsheetml/2006/main">
  <numFmts count="0"/>
  <fonts count="21">
    <font>
      <sz val="11.0"/>
      <name val="Yu Gothic"/>
      <color theme="1"/>
    </font>
    <font>
      <sz val="8.0"/>
      <name val="Yu Gothic"/>
      <color rgb="FF000000"/>
    </font>
    <font>
      <u/>
      <sz val="11.0"/>
      <name val="Yu Gothic"/>
      <color theme="10"/>
    </font>
    <font>
      <u/>
      <sz val="11.0"/>
      <name val="Yu Gothic"/>
      <color theme="11"/>
    </font>
    <font>
      <sz val="11.0"/>
      <name val="Yu Gothic"/>
      <color rgb="FFFF0000"/>
    </font>
    <font>
      <sz val="18.0"/>
      <name val="Yu Gothic"/>
      <color theme="3"/>
    </font>
    <font>
      <b/>
      <sz val="15.0"/>
      <name val="Yu Gothic"/>
      <color theme="3"/>
    </font>
    <font>
      <b/>
      <sz val="13.0"/>
      <name val="Yu Gothic"/>
      <color theme="3"/>
    </font>
    <font>
      <b/>
      <sz val="11.0"/>
      <name val="Yu Gothic"/>
      <color theme="3"/>
    </font>
    <font>
      <sz val="11.0"/>
      <name val="Yu Gothic"/>
      <color rgb="FF3F3F76"/>
    </font>
    <font>
      <b/>
      <sz val="11.0"/>
      <name val="Yu Gothic"/>
      <color rgb="FF3F3F3F"/>
    </font>
    <font>
      <b/>
      <sz val="11.0"/>
      <name val="Yu Gothic"/>
      <color rgb="FFFA7D00"/>
    </font>
    <font>
      <b/>
      <sz val="11.0"/>
      <name val="Yu Gothic"/>
      <color rgb="FFFFFFFF"/>
    </font>
    <font>
      <sz val="11.0"/>
      <name val="Yu Gothic"/>
      <color rgb="FFFA7D00"/>
    </font>
    <font>
      <b/>
      <sz val="11.0"/>
      <name val="Yu Gothic"/>
      <color theme="1"/>
    </font>
    <font>
      <sz val="11.0"/>
      <name val="Yu Gothic"/>
      <color rgb="FF006100"/>
    </font>
    <font>
      <sz val="11.0"/>
      <name val="Yu Gothic"/>
      <color rgb="FF9C0006"/>
    </font>
    <font>
      <sz val="11.0"/>
      <name val="Yu Gothic"/>
      <color rgb="FF9C6500"/>
    </font>
    <font>
      <sz val="11.0"/>
      <name val="Yu Gothic"/>
      <color theme="0"/>
    </font>
    <font>
      <i/>
      <sz val="11.0"/>
      <name val="Yu Gothic"/>
      <color rgb="FF7F7F7F"/>
    </font>
    <font>
      <b/>
      <u/>
      <sz val="11.0"/>
      <name val="Yu Gothic"/>
      <color theme="1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Alignment="1">
      <alignment vertical="center"/>
    </xf>
    <xf numFmtId="0" fontId="14" fillId="0" borderId="0" xfId="0">
      <alignment vertical="center"/>
    </xf>
    <xf numFmtId="0" fontId="20" fillId="0" borderId="0" xfId="0" applyAlignment="1">
      <alignment vertical="center"/>
    </xf>
  </cellXfs>
  <cellStyles count="49">
    <cellStyle name="20% - 強調1" xfId="25" builtinId="30"/>
    <cellStyle name="20% - 強調2" xfId="29" builtinId="34"/>
    <cellStyle name="20% - 強調3" xfId="33" builtinId="38"/>
    <cellStyle name="20% - 強調4" xfId="37" builtinId="42"/>
    <cellStyle name="20% - 強調5" xfId="41" builtinId="46"/>
    <cellStyle name="20% - 強調6" xfId="45" builtinId="50"/>
    <cellStyle name="40% - 強調1" xfId="26" builtinId="31"/>
    <cellStyle name="40% - 強調2" xfId="30" builtinId="35"/>
    <cellStyle name="40% - 強調3" xfId="34" builtinId="39"/>
    <cellStyle name="40% - 強調4" xfId="38" builtinId="43"/>
    <cellStyle name="40% - 強調5" xfId="42" builtinId="47"/>
    <cellStyle name="40% - 強調6" xfId="46" builtinId="51"/>
    <cellStyle name="60% - 強調1" xfId="27" builtinId="32"/>
    <cellStyle name="60% - 強調2" xfId="31" builtinId="36"/>
    <cellStyle name="60% - 強調3" xfId="35" builtinId="40"/>
    <cellStyle name="60% - 強調4" xfId="39" builtinId="44"/>
    <cellStyle name="60% - 強調5" xfId="43" builtinId="48"/>
    <cellStyle name="60% - 強調6" xfId="47" builtinId="52"/>
    <cellStyle name="Followed Hyperlink" xfId="7" builtinId="9" hidden="1"/>
    <cellStyle name="Hyperlink" xfId="6" builtinId="8" hidden="1"/>
    <cellStyle name="コメント" xfId="8" builtinId="10"/>
    <cellStyle name="セルの確認" xfId="18" builtinId="23"/>
    <cellStyle name="タイトル" xfId="10" builtinId="15"/>
    <cellStyle name="タイトル 1" xfId="11" builtinId="16"/>
    <cellStyle name="タイトル 2" xfId="12" builtinId="17"/>
    <cellStyle name="タイトル 3" xfId="13" builtinId="18"/>
    <cellStyle name="タイトル 4" xfId="14" builtinId="19"/>
    <cellStyle name="パーセント" xfId="3" builtinId="5"/>
    <cellStyle name="リンクセル" xfId="19" builtinId="24"/>
    <cellStyle name="入力" xfId="15" builtinId="20"/>
    <cellStyle name="出力" xfId="16" builtinId="21"/>
    <cellStyle name="合計" xfId="20" builtinId="25"/>
    <cellStyle name="強調1" xfId="24" builtinId="29"/>
    <cellStyle name="強調2" xfId="28" builtinId="33"/>
    <cellStyle name="強調3" xfId="32" builtinId="37"/>
    <cellStyle name="強調4" xfId="36" builtinId="41"/>
    <cellStyle name="強調5" xfId="40" builtinId="45"/>
    <cellStyle name="強調6" xfId="44" builtinId="49"/>
    <cellStyle name="悪い" xfId="22" builtinId="27"/>
    <cellStyle name="桁区切り" xfId="1" builtinId="3"/>
    <cellStyle name="桁区切り [0]" xfId="4" builtinId="6"/>
    <cellStyle name="標準" xfId="0" builtinId="0"/>
    <cellStyle name="標準" xfId="23" builtinId="28"/>
    <cellStyle name="良い" xfId="21" builtinId="26"/>
    <cellStyle name="計算" xfId="17" builtinId="22"/>
    <cellStyle name="説明テキスト" xfId="48" builtinId="53"/>
    <cellStyle name="警告文" xfId="9" builtinId="11"/>
    <cellStyle name="通貨" xfId="2" builtinId="4"/>
    <cellStyle name="通貨[0]" xfId="5" builtinId="7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https://www.amazon.co.jp/dp/B07MM4599Q/ref=sspa_dk_detail_2?psc=1&amp;pd_rd_i=B07MM4599Q&amp;pd_rd_w=IfOwo&amp;content-id=amzn1.sym.f293be60-50b7-49bc-95e8-931faf86ed1e&amp;pf_rd_p=f293be60-50b7-49bc-95e8-931faf86ed1e&amp;pf_rd_r=AV16JFBNN27CCHFJ7Z4X&amp;pd_rd_wg=xE53R&amp;pd_rd_r=5e4b4a2b-28e3-4bf2-8140-492b22acdc07&amp;s=industrial&amp;sp_csd=d2lkZ2V0TmFtZT1zcF9kZXRhaWw" TargetMode="External"></Relationship><Relationship Id="rId2" Type="http://schemas.openxmlformats.org/officeDocument/2006/relationships/hyperlink" Target="https://www.amazon.co.jp/YFFSFDC-12-24V-%E9%98%B2%E6%B0%B4%E3%82%A4%E3%83%B3%E3%82%B8%E3%82%B1%E3%83%BC%E3%82%BF%E3%83%A9%E3%82%A4%E3%83%88-%E3%83%91%E3%82%A4%E3%83%AD%E3%83%83%E3%83%88%E3%83%A9%E3%82%A4%E3%83%88%E3%82%B7%E3%82%B0%E3%83%8A%E3%83%AB-%E3%82%A4%E3%83%B3%E3%82%B8%E3%82%B1%E3%83%BC%E3%82%BF%EF%BC%885%E8%89%B2%E3%82%BB%E3%83%83%E3%83%88%EF%BC%89/dp/B097B277TN/ref=sr_1_6?dib=eyJ2IjoiMSJ9.DuKUGv5dhUpppOEDOobnN6CIHN104HInPEvpGRzB3mZAArZQP2ICeCTlfLaZrZFAwfp2G8QDaJ8WAGyrpaDDOI74JwKQBMGuQxkvahSgPSMn9NsAlMTLKPtLHYoIsnOwiwQzIFcdHYK7_K0PpbZQLMlYFvgBrvRsNgqHtb9Z3c576FpvqjKU-JKEAAUw0JUe2NqDtmwQEqd8DvLhk2RxFgDGKbGnFdY_zXP7fxqOu9IEHUK4AFUbWhrEhvenJBXEShKA4RbawPoTCSeHmjBFbAcPh9PoYK91rCLdoUnYB7M.bUjHEeiPOkUqRK-BKH4c8_TABXjkc9Th1TPPGO-vtz4&amp;dib_tag=se&amp;keywords=%E3%83%91%E3%82%A4%E3%83%AD%E3%83%83%E3%83%88%E3%82%B7%E3%82%B0%E3%83%8A%E3%83%AB&amp;qid=1731819666&amp;sr=8-6&amp;th=1" TargetMode="External"></Relationship><Relationship Id="rId3" Type="http://schemas.openxmlformats.org/officeDocument/2006/relationships/hyperlink" Target="https://www.amazon.co.jp/ZHEJIA-%E3%83%AD%E3%83%83%E3%82%AB%E3%83%BC%E3%82%B9%E3%82%A4%E3%83%83%E3%83%81-%E3%80%9010%E5%80%8B%E3%82%BB%E3%83%83%E3%83%88-%E3%82%AA%E3%83%95%E3%83%9C%E3%83%BC%E3%83%88%E3%83%AD%E3%83%83%E3%82%AB%E3%83%BC%E3%82%B9%E3%82%A4%E3%83%83%E3%83%81-%E8%87%AA%E5%8B%95%E8%BB%8A%E7%94%A8%E3%82%AA%E3%83%BC%E3%83%88%E3%83%90%E3%82%A4%E3%83%9C%E3%83%BC%E3%83%88%E3%81%AE%E5%88%87%E6%96%AD%E3%82%B9%E3%82%A4%E3%83%83%E3%83%81%E3%82%A6%E3%82%A9%E3%83%BC%E3%82%BF%E3%83%BC%E3%83%87%E3%82%A3%E3%82%B9%E3%83%9A%E3%83%B3%E3%82%B5%E3%83%BC%E3%82%B3%E3%83%BC%E3%83%92%E3%83%BC%E3%83%9D%E3%83%83%E3%83%88%E7%AD%89%E5%AF%BE%E5%BF%9C/dp/B09KBRBFH9/ref=sr_1_2_sspa?__mk_ja_JP=%E3%82%AB%E3%82%BF%E3%82%AB%E3%83%8A&amp;crid=JIDYDENYCFG2&amp;dib=eyJ2IjoiMSJ9.rNrNSv6HaQn-2d5Wvct5sVa9130MdIQ-H6Kg_xlAI_8k-ao1ehfIxhPN8BYyWEqVv10ZHlUpzNjVHwo4IwXMR-AihsFNG1MhojOs3cWcYoLFOdYm5Xxg-uh8NdzNFx6GpsczacJaSmyoY7o8IWUMO8y2E92dg5s_Mjmf1A0YiFEL35vh7cdeNPKPESoU57Ct3Rp95WK0phc95AfiyCGacJLnZ0f9mJOHK9BqnHeIQTIpKWFv5lDVDLTZxWknfxbKk0ehkECFqji9s4k6Q0M0dWS9zYeBK8Owuj7K3SawGi4.qhu4XWo9613OPZ5eFvRauuB2FT1lmcDDCQ13GdHl7fU&amp;dib_tag=se&amp;keywords=%E3%83%AD%E3%83%83%E3%82%AB%E3%83%BC%E3%82%B9%E3%82%A4%E3%83%83%E3%83%81&amp;qid=1731819862&amp;sprefix=%E3%83%AD%E3%83%83%E3%82%AB%E3%83%BC%E3%82%B9%E3%82%A4%E3%83%83%E3%83%81%2Caps%2C204&amp;sr=8-2-spons&amp;sp_csd=d2lkZ2V0TmFtZT1zcF9hdGY&amp;psc=1" TargetMode="External"></Relationship><Relationship Id="rId4" Type="http://schemas.openxmlformats.org/officeDocument/2006/relationships/hyperlink" Target="https://www.amazon.co.jp/Kiligen-4%E5%80%8B%E3%82%BB%E3%83%83%E3%83%883A-%E6%8A%BC%E3%81%97%E3%83%9C%E3%82%BF%E3%83%B3%E3%82%B9%E3%82%A4%E3%83%83%E3%83%81-%E3%82%B7%E3%83%AB%E3%83%90%E3%83%BC%E3%82%B9%E3%83%86%E3%83%B3%E3%83%AC%E3%82%B9%E3%82%B9%E3%83%81%E3%83%BC%E3%83%AB%E3%81%97%E3%83%9C%E3%82%BF%E3%83%B3%E3%82%B9%E3%82%A4%E3%83%83%E3%83%81-%E8%A3%85%E7%9D%80%E7%9B%B4%E5%BE%8412mm/dp/B0CH9GFGMJ/ref=pd_sbs_d_sccl_4_3/358-9823792-8624558?pd_rd_w=ESEyv&amp;content-id=amzn1.sym.cc4f782f-18e8-4959-acfc-ffdf7905539a&amp;pf_rd_p=cc4f782f-18e8-4959-acfc-ffdf7905539a&amp;pf_rd_r=884PBBT1D0RSHYWJFJGP&amp;pd_rd_wg=SIe0h&amp;pd_rd_r=2d0e69bd-b052-4720-967f-f6e0b6ebc8f0&amp;pd_rd_i=B087F1MCFX&amp;th=1" TargetMode="External"></Relationship><Relationship Id="rId5" Type="http://schemas.openxmlformats.org/officeDocument/2006/relationships/hyperlink" Target="https://www.amazon.co.jp/dp/B0BFGG3M14/?coliid=I34OHS7Z4PY1ZK&amp;colid=7ZCDJ5EHO98L&amp;ref_=list_c_wl_lv_ov_lig_dp_it&amp;th=1" TargetMode="External"></Relationship><Relationship Id="rId6" Type="http://schemas.openxmlformats.org/officeDocument/2006/relationships/hyperlink" Target="https://www.amazon.co.jp/%E8%B5%A4%E3%82%AD%E3%83%8E%E3%82%B3-%E3%82%AD%E3%83%A3%E3%83%83%E3%83%97-%E5%81%9C%E6%AD%A2%E6%8A%BC%E3%81%97%E3%83%9C%E3%82%BF%E3%83%B3-%E3%82%B9%E3%82%A4%E3%83%83%E3%83%81-10A%E4%BE%BF%E5%88%A9%E3%81%A7%E7%B4%A0%E6%95%B5/dp/B0BW53QZVM/ref=sr_1_143_sspa?__mk_ja_JP=%E3%82%AB%E3%82%BF%E3%82%AB%E3%83%8A&amp;crid=VJ3JWP5RDHUI&amp;dib=eyJ2IjoiMSJ9.MnXUm6QDVMzmElz_EOiT6MEfFuwb2A4f6nkEz4M5mxlKqD0id32VmEn8K14wVvL4JNpsQD4ZnF8FSbx6Unp7tWl75K8RMHDuh8I5JQsxdCiLLSAj2KF5eCWfjG6-UK7zTWXM7Mo46yauFyhvS5Rt2_N7MuKbkLeXDSqgZVhIYto6L5wImLeK1uiOOC_o5KB5ue3zy6eIhkmXVcPbJkU3E03ZLn50tvIcV-jnNmcTxhuGIz5LwMFk9Nl4ksnUYVwS.q-1CqAIhn9WMYsFU53w3ipK1CPwxuoEky1aaxK7hg6o&amp;dib_tag=se&amp;keywords=%E3%82%A8%E3%83%9E%E3%83%BC%E3%82%B8%E3%82%A7%E3%83%B3%E3%82%B7%E3%83%BC%E3%82%B9%E3%82%A4%E3%83%83%E3%83%81&amp;qid=1731820462&amp;s=industrial&amp;sprefix=%E3%82%A8%E3%83%9E%E3%83%BC%E3%82%B8%E3%82%A7%E3%83%B3%E3%82%B7%E3%83%BC%E3%82%B9%E3%82%A4%E3%83%83%E3%83%81%2Cindustrial%2C185&amp;sr=1-143-spons&amp;sp_csd=d2lkZ2V0TmFtZT1zcF9idGY&amp;psc=1" TargetMode="External"></Relationship><Relationship Id="rId7" Type="http://schemas.openxmlformats.org/officeDocument/2006/relationships/hyperlink" Target="https://www.amazon.co.jp/Kiligen-%E8%BB%8A%E3%83%88%E3%82%B0%E3%83%AB%E3%82%B9%E3%82%A4%E3%83%83%E3%83%8112-24V-15A-SPST-OFF%E3%83%AD%E3%83%83%E3%82%AB%E3%83%BC%E3%83%88%E3%82%B0%E3%83%AB%E3%82%B9%E3%82%A4%E3%83%83%E3%83%81%E3%80%81%E8%87%AA%E5%8B%95%E8%BB%8A%E3%82%AA%E3%83%BC%E3%83%88%E3%83%88%E3%83%A9%E3%83%83%E3%82%AF%E3%83%9C%E3%83%BC%E3%83%88%E7%94%A8/dp/B08NPW6KYM/ref=sr_1_9?__mk_ja_JP=%E3%82%AB%E3%82%BF%E3%82%AB%E3%83%8A&amp;crid=18R7J1U1FBZ7R&amp;dib=eyJ2IjoiMSJ9.d-BBy6avO1GBlIB4BhkiT-914vjG7YEha_jUwzKuWl1OEqxrK05vtwbmbRYrQu5QOhbFABdfqKrWdg18io6WdtfUYGe3R6hZyn5WCEd7UJpww8BUyltTjdTA_z0W4Q54V-HS8BWsS4wdjQEFung0y-nRTAWJ6W5UOX2hdKLB52BPagfTjG0E2oCJ9pKXSYZfvqpOSWsItEcdA1y_LYpvQIyJ6hbTRftPpdjYmTgTEFOlzkQ70Gy5T_mPW4m3Xg464InueEg7O6bAO76DtiSQNbYsC4NABmTNvap5wwvgA9g.hhdq-RHDhzOGmlu6Lr8wVcbHhqscVymKKsIeVN5yGDQ&amp;dib_tag=se&amp;keywords=%E3%83%88%E3%82%B0%E3%83%AB%E3%82%B9%E3%82%A4%E3%83%83%E3%83%81&amp;qid=1731820545&amp;s=industrial&amp;sprefix=%E3%83%88%E3%82%B0%E3%83%AB%E3%82%B9%E3%82%A4%E3%83%83%E3%83%81%2Cindustrial%2C180&amp;sr=1-9&amp;th=1" TargetMode="External"></Relationship><Relationship Id="rId8" Type="http://schemas.openxmlformats.org/officeDocument/2006/relationships/hyperlink" Target="https://www.amazon.co.jp/gp/product/B0B2VFHXRN/ref=sw_img_1?smid=A2SL90PAICTVWZ&amp;psc=1" TargetMode="External"></Relationship><Relationship Id="rId9" Type="http://schemas.openxmlformats.org/officeDocument/2006/relationships/hyperlink" Target="https://www.amazon.co.jp/ELEGOO-Arduino-MEGA2560-ATmega2560-ATMEGA16U2/dp/B06ZZ259PM/ref=sr_1_1_pp?__mk_ja_JP=%E3%82%AB%E3%82%BF%E3%82%AB%E3%83%8A&amp;crid=3VU8IXABHQAHO&amp;dib=eyJ2IjoiMSJ9.J4HwswDKHjKMtBLOsYAIz52RdMka_ReGno1ev3fm5YAqksakrgjAy4wZNq8v8JVFYG8q-ElIBCPsKteTZG51h_qBT0E78FITmNIDdXofiTN2sjQvLqUdPPWjKpXkazUJPfHd6whaopmCnhzKiHU9FgnE5uRatqNkTz6rfkh9HU07B1NMwoSnOUlDfRABTj5YXsmBJpGrvVFVwWxCriiqjANihhNmmBYbecgrXazLxq5HxCQcmHTftWBGUv29MLMBwrgLEhDHPrREOV9fA4zaVZ6qBhq-bj6E3xQ00z1B1iY.2-60kvZMrKVj2ZnBDIsus2_Ybv2gCAU6JqgV5sGNQks&amp;dib_tag=se&amp;keywords=arduino+mega&amp;qid=1731967431&amp;s=industrial&amp;sprefix=arduino+mega%2Cindustrial%2C178&amp;sr=1-1" TargetMode="Externa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3"/>
  <sheetViews>
    <sheetView tabSelected="1" workbookViewId="0">
      <selection activeCell="B3" sqref="B3"/>
    </sheetView>
  </sheetViews>
  <sheetFormatPr defaultRowHeight="13.200000" customHeight="1"/>
  <cols>
    <col min="2" max="2" width="21.12999916" customWidth="1" outlineLevel="0"/>
    <col min="6" max="6" width="11.38000011" customWidth="1" outlineLevel="0"/>
  </cols>
  <sheetData>
    <row r="2" spans="2:7">
      <c r="B2" s="0" t="s">
        <v>0</v>
      </c>
      <c r="C2" s="0" t="s">
        <v>1</v>
      </c>
      <c r="D2" s="0" t="s">
        <v>2</v>
      </c>
      <c r="E2" s="0" t="s">
        <v>3</v>
      </c>
      <c r="F2" s="0" t="s">
        <v>7</v>
      </c>
      <c r="G2" s="0" t="s">
        <v>9</v>
      </c>
    </row>
    <row r="3" spans="2:7">
      <c r="B3" s="0" t="s">
        <v>6</v>
      </c>
      <c r="C3" s="0">
        <v>750</v>
      </c>
      <c r="D3" s="0">
        <v>3</v>
      </c>
      <c r="E3" s="0">
        <f>C3*D3</f>
        <v>2250</v>
      </c>
      <c r="F3" s="1" t="s">
        <v>24</v>
      </c>
      <c r="G3" s="0" t="s">
        <v>10</v>
      </c>
    </row>
    <row r="4" spans="2:7">
      <c r="B4" s="0" t="s">
        <v>11</v>
      </c>
      <c r="C4" s="0">
        <v>600</v>
      </c>
      <c r="D4" s="0">
        <v>1</v>
      </c>
      <c r="E4" s="0">
        <f>C4*D4</f>
        <v>600</v>
      </c>
      <c r="F4" s="1" t="s">
        <v>25</v>
      </c>
      <c r="G4" s="0" t="s">
        <v>13</v>
      </c>
    </row>
    <row r="5" spans="2:7">
      <c r="B5" s="0" t="s">
        <v>14</v>
      </c>
      <c r="C5" s="0">
        <v>1000</v>
      </c>
      <c r="D5" s="0">
        <v>1</v>
      </c>
      <c r="E5" s="0">
        <f>C5*D5</f>
        <v>1000</v>
      </c>
      <c r="F5" s="1" t="s">
        <v>26</v>
      </c>
      <c r="G5" s="0" t="s">
        <v>13</v>
      </c>
    </row>
    <row r="6" spans="2:7">
      <c r="B6" s="0" t="s">
        <v>15</v>
      </c>
      <c r="C6" s="0">
        <v>1000</v>
      </c>
      <c r="D6" s="0">
        <v>1</v>
      </c>
      <c r="E6" s="0">
        <f>C6*D6</f>
        <v>1000</v>
      </c>
      <c r="F6" s="1" t="s">
        <v>27</v>
      </c>
      <c r="G6" s="0" t="s">
        <v>13</v>
      </c>
    </row>
    <row r="7" spans="2:7">
      <c r="B7" s="0" t="s">
        <v>16</v>
      </c>
      <c r="C7" s="0">
        <v>380</v>
      </c>
      <c r="D7" s="0">
        <v>1</v>
      </c>
      <c r="E7" s="0">
        <f>C7*D7</f>
        <v>380</v>
      </c>
      <c r="F7" s="1" t="s">
        <v>28</v>
      </c>
      <c r="G7" s="0" t="s">
        <v>13</v>
      </c>
    </row>
    <row r="8" spans="2:7">
      <c r="B8" s="0" t="s">
        <v>19</v>
      </c>
      <c r="C8" s="0">
        <v>1000</v>
      </c>
      <c r="D8" s="0">
        <v>1</v>
      </c>
      <c r="E8" s="0">
        <f>C8*D8</f>
        <v>1000</v>
      </c>
      <c r="F8" s="1" t="s">
        <v>29</v>
      </c>
      <c r="G8" s="0" t="s">
        <v>13</v>
      </c>
    </row>
    <row r="9" spans="2:7">
      <c r="B9" s="0" t="s">
        <v>21</v>
      </c>
      <c r="C9" s="0">
        <v>1800</v>
      </c>
      <c r="D9" s="0">
        <v>1</v>
      </c>
      <c r="E9" s="0">
        <f>C9*D9</f>
        <v>1800</v>
      </c>
      <c r="F9" s="1" t="s">
        <v>22</v>
      </c>
      <c r="G9" s="0" t="s">
        <v>23</v>
      </c>
    </row>
    <row r="10" spans="2:7">
      <c r="B10" s="0" t="s">
        <v>19</v>
      </c>
      <c r="C10" s="0">
        <v>0</v>
      </c>
      <c r="D10" s="0">
        <v>0</v>
      </c>
      <c r="E10" s="0">
        <f>C10*D10</f>
        <v>0</v>
      </c>
      <c r="F10" s="0" t="s">
        <v>30</v>
      </c>
      <c r="G10" s="0" t="s">
        <v>20</v>
      </c>
    </row>
    <row r="11" spans="2:7">
      <c r="B11" s="0" t="s">
        <v>31</v>
      </c>
      <c r="C11" s="0">
        <v>650</v>
      </c>
      <c r="D11" s="0">
        <v>1</v>
      </c>
      <c r="E11" s="0">
        <f>C11*D11</f>
        <v>650</v>
      </c>
      <c r="F11" s="1" t="s">
        <v>33</v>
      </c>
      <c r="G11" s="0" t="s">
        <v>35</v>
      </c>
    </row>
    <row r="12" spans="2:7">
      <c r="B12" s="0" t="s">
        <v>36</v>
      </c>
      <c r="C12" s="0">
        <v>3300</v>
      </c>
      <c r="D12" s="0">
        <v>1</v>
      </c>
      <c r="E12" s="0">
        <f>C12*D12</f>
        <v>3300</v>
      </c>
      <c r="F12" s="1" t="s">
        <v>37</v>
      </c>
      <c r="G12" s="0" t="s">
        <v>38</v>
      </c>
    </row>
    <row r="13" spans="2:7">
      <c r="E13" s="0">
        <f>SUM(E3:E12)</f>
        <v>11980</v>
      </c>
    </row>
  </sheetData>
  <phoneticPr fontId="1" type="noConversion"/>
  <hyperlinks>
    <hyperlink r:id="rId1" ref="F9"/>
    <hyperlink r:id="rId2" ref="F3"/>
    <hyperlink r:id="rId3" ref="F4"/>
    <hyperlink r:id="rId4" ref="F5"/>
    <hyperlink r:id="rId5" ref="F6"/>
    <hyperlink r:id="rId6" ref="F7"/>
    <hyperlink r:id="rId7" ref="F8"/>
    <hyperlink r:id="rId8" ref="F11"/>
    <hyperlink r:id="rId9" ref="F12"/>
  </hyperlinks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 customHeight="1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 customHeight="1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1306z</dc:creator>
  <cp:lastModifiedBy>1306z</cp:lastModifiedBy>
  <cp:version>10.115.186.54614</cp:version>
</cp:coreProperties>
</file>